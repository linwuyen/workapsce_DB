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xr:revisionPtr revIDLastSave="0" documentId="8_{7C2AB649-6648-4924-BD1A-439D7E72CE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工作表1" sheetId="1" r:id="rId1"/>
  </sheets>
  <definedNames>
    <definedName name="Dac_Gain">工作表1!$J$14:$J$14</definedName>
    <definedName name="Dac_Offset">工作表1!$J$15:$J$15</definedName>
    <definedName name="Default_Gain">工作表1!$C$2</definedName>
    <definedName name="Default_Offset">工作表1!$C$3</definedName>
    <definedName name="Vdac_Y1">工作表1!$B$6:$B$6</definedName>
    <definedName name="Vdac_Y2">工作表1!$B$8:$B$8</definedName>
    <definedName name="Vmax">工作表1!$C$1:$C$1</definedName>
    <definedName name="Vmeter_X1">工作表1!$C$6:$C$6</definedName>
    <definedName name="Vmeter_X2">工作表1!$C$8:$C$8</definedName>
    <definedName name="Vset_X1">工作表1!$A$6:$A$6</definedName>
    <definedName name="Vset_X2">工作表1!$A$8:$A$8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0" i="1"/>
  <c r="J10" i="1" a="1"/>
  <c r="J10" i="1"/>
  <c r="H22" i="1"/>
  <c r="H21" i="1"/>
  <c r="H20" i="1"/>
  <c r="K22" i="1"/>
  <c r="E16" i="1"/>
  <c r="F16" i="1" s="1"/>
  <c r="E15" i="1"/>
  <c r="F15" i="1" s="1"/>
  <c r="E14" i="1"/>
  <c r="F14" i="1" s="1"/>
  <c r="D7" i="1" a="1"/>
  <c r="D7" i="1"/>
  <c r="D8" i="1" a="1"/>
  <c r="D8" i="1"/>
  <c r="D6" i="1" a="1"/>
  <c r="D6" i="1"/>
  <c r="G7" i="1"/>
  <c r="G8" i="1"/>
  <c r="G6" i="1"/>
  <c r="K20" i="1"/>
  <c r="K21" i="1"/>
  <c r="F7" i="1"/>
  <c r="F8" i="1"/>
  <c r="F6" i="1"/>
  <c r="K15" i="1"/>
  <c r="K16" i="1"/>
  <c r="K17" i="1"/>
  <c r="K18" i="1"/>
  <c r="K14" i="1"/>
  <c r="J14" i="1" a="1"/>
  <c r="J14" i="1"/>
  <c r="K7" i="1"/>
  <c r="K8" i="1"/>
  <c r="J7" i="1"/>
  <c r="J8" i="1"/>
  <c r="J6" i="1"/>
  <c r="K6" i="1"/>
  <c r="H10" i="1" l="1"/>
  <c r="J11" i="1" a="1"/>
  <c r="J11" i="1" s="1"/>
  <c r="H6" i="1"/>
  <c r="H8" i="1"/>
  <c r="H7" i="1"/>
  <c r="J15" i="1" a="1"/>
  <c r="J15" i="1" s="1"/>
  <c r="D15" i="1" l="1" a="1"/>
  <c r="D15" i="1" s="1"/>
  <c r="G15" i="1" s="1"/>
  <c r="H15" i="1" s="1"/>
  <c r="D16" i="1" a="1"/>
  <c r="D16" i="1" s="1"/>
  <c r="G16" i="1" s="1"/>
  <c r="H16" i="1" s="1"/>
  <c r="D14" i="1" a="1"/>
  <c r="D14" i="1" s="1"/>
  <c r="G14" i="1" s="1"/>
  <c r="H14" i="1" s="1"/>
  <c r="J17" i="1" a="1"/>
  <c r="J17" i="1" s="1"/>
  <c r="J18" i="1" a="1"/>
  <c r="J18" i="1" s="1"/>
  <c r="J16" i="1" a="1"/>
  <c r="J16" i="1" s="1"/>
  <c r="J20" i="1" s="1"/>
  <c r="J21" i="1" l="1"/>
  <c r="J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<sst xmlns="http://schemas.openxmlformats.org/spreadsheetml/2006/main" count="24" uniqueCount="16">
  <si>
    <t>Vmax</t>
  </si>
  <si>
    <t>Default Gain</t>
  </si>
  <si>
    <t>Default Offset</t>
  </si>
  <si>
    <t>DCV_set</t>
  </si>
  <si>
    <t>DAC</t>
  </si>
  <si>
    <t>Vmeter</t>
  </si>
  <si>
    <t>VREF_set_shadow</t>
  </si>
  <si>
    <t>WAVE_set_shadow</t>
  </si>
  <si>
    <t>Wave_PU</t>
  </si>
  <si>
    <t>Vref_PU</t>
  </si>
  <si>
    <t>CLA</t>
  </si>
  <si>
    <t>After</t>
  </si>
  <si>
    <t>Gain</t>
  </si>
  <si>
    <t>Offset</t>
  </si>
  <si>
    <t>Dac_Gain</t>
  </si>
  <si>
    <t>Dac_Offset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</si>
</sst>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"/>
    <numFmt numFmtId="182" formatCode="0.0000"/>
  </numFmts>
  <fonts count="3">
    <font>
      <sz val="12"/>
      <color theme="1"/>
      <name val="新細明體"/>
      <family val="2"/>
      <scheme val="minor"/>
    </font>
    <font>
      <sz val="12"/>
      <color theme="1"/>
      <name val="Arial"/>
    </font>
    <font>
      <sz val="12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182" fontId="1" fillId="0" borderId="0" xfId="0" applyNumberFormat="1" applyFont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A10" sqref="A10:XFD11"/>
    </sheetView>
  </sheetViews>
  <sheetFormatPr defaultRowHeight="15"/>
  <cols>
    <col min="1" max="1" width="9.25" style="1" customWidth="1"/>
    <col min="2" max="2" width="6.625" style="1" bestFit="1" customWidth="1"/>
    <col min="3" max="3" width="7.75" style="1" bestFit="1" customWidth="1"/>
    <col min="4" max="4" width="18.125" style="1" bestFit="1" customWidth="1"/>
    <col min="5" max="5" width="18.625" style="1" bestFit="1" customWidth="1"/>
    <col min="6" max="6" width="13.125" style="1" customWidth="1"/>
    <col min="7" max="7" width="11" style="1" customWidth="1"/>
    <col min="8" max="8" width="10.5" style="1" customWidth="1"/>
    <col min="9" max="9" width="12.125" style="1" customWidth="1"/>
    <col min="10" max="10" width="9" style="1"/>
    <col min="11" max="11" width="13.875" style="1" customWidth="1"/>
    <col min="12" max="16384" width="9" style="1"/>
  </cols>
  <sheetData>
    <row r="1" spans="1:11">
      <c r="B1" s="1" t="s">
        <v>0</v>
      </c>
      <c r="C1" s="1">
        <v>500</v>
      </c>
    </row>
    <row r="2" spans="1:11">
      <c r="B2" s="3" t="s">
        <v>1</v>
      </c>
      <c r="C2" s="1">
        <v>59.576000000000001</v>
      </c>
    </row>
    <row r="3" spans="1:11">
      <c r="B3" s="3" t="s">
        <v>2</v>
      </c>
      <c r="C3" s="1">
        <v>32767</v>
      </c>
    </row>
    <row r="5" spans="1:1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11">
      <c r="A6" s="1">
        <v>500</v>
      </c>
      <c r="B6" s="1">
        <v>1490</v>
      </c>
      <c r="C6" s="2">
        <v>-528.95000000000005</v>
      </c>
      <c r="D6" s="1" cm="1">
        <f t="array" ref="D6">Vmax*Default_Gain+Default_Offset</f>
        <v>62555</v>
      </c>
      <c r="E6" s="1">
        <v>0</v>
      </c>
      <c r="F6" s="6">
        <f>(E6/65535-0.5)*2</f>
        <v>-1</v>
      </c>
      <c r="G6" s="7">
        <f>D6/65535</f>
        <v>0.95452811474784471</v>
      </c>
      <c r="H6" s="5">
        <f>((G6*F6)*0.5+0.5)*65535</f>
        <v>1489.9999999999984</v>
      </c>
      <c r="J6" s="1">
        <f>A6*Default_Gain+Default_Offset</f>
        <v>62555</v>
      </c>
      <c r="K6" s="4" t="str">
        <f ca="1">_xlfn.FORMULATEXT(J6)</f>
        <v>=A6*Default_Gain+Default_Offset</v>
      </c>
    </row>
    <row r="7" spans="1:11">
      <c r="A7" s="1">
        <v>0</v>
      </c>
      <c r="B7" s="1">
        <v>32767</v>
      </c>
      <c r="C7" s="2">
        <v>-0.18099999999999999</v>
      </c>
      <c r="D7" s="1" cm="1">
        <f t="array" ref="D7">Vmax*Default_Gain+Default_Offset</f>
        <v>62555</v>
      </c>
      <c r="E7" s="1">
        <v>32767</v>
      </c>
      <c r="F7" s="6">
        <f t="shared" ref="F7:F8" si="0">(E7/65535-0.5)*2</f>
        <v>-1.5259021896696368E-5</v>
      </c>
      <c r="G7" s="7">
        <f t="shared" ref="G7:G8" si="1">D7/65535</f>
        <v>0.95452811474784471</v>
      </c>
      <c r="H7" s="5">
        <f t="shared" ref="H7:H8" si="2">((G7*F7)*0.5+0.5)*65535</f>
        <v>32767.022735942624</v>
      </c>
      <c r="J7" s="1">
        <f>A7*Default_Gain+Default_Offset</f>
        <v>32767</v>
      </c>
      <c r="K7" s="4" t="str">
        <f t="shared" ref="K7:K11" ca="1" si="3">_xlfn.FORMULATEXT(J7)</f>
        <v>=A7*Default_Gain+Default_Offset</v>
      </c>
    </row>
    <row r="8" spans="1:11">
      <c r="A8" s="1">
        <v>-500</v>
      </c>
      <c r="B8" s="1">
        <v>64044</v>
      </c>
      <c r="C8" s="2">
        <v>528.70000000000005</v>
      </c>
      <c r="D8" s="1" cm="1">
        <f t="array" ref="D8">Vmax*Default_Gain+Default_Offset</f>
        <v>62555</v>
      </c>
      <c r="E8" s="1">
        <v>65535</v>
      </c>
      <c r="F8" s="6">
        <f t="shared" si="0"/>
        <v>1</v>
      </c>
      <c r="G8" s="7">
        <f t="shared" si="1"/>
        <v>0.95452811474784471</v>
      </c>
      <c r="H8" s="5">
        <f t="shared" si="2"/>
        <v>64045.000000000007</v>
      </c>
      <c r="J8" s="1">
        <f>A8*Default_Gain+Default_Offset</f>
        <v>2979</v>
      </c>
      <c r="K8" s="4" t="str">
        <f t="shared" ca="1" si="3"/>
        <v>=A8*Default_Gain+Default_Offset</v>
      </c>
    </row>
    <row r="10" spans="1:11" s="11" customFormat="1">
      <c r="A10" s="11" t="s">
        <v>11</v>
      </c>
      <c r="B10" s="11" t="s">
        <v>12</v>
      </c>
      <c r="C10" s="11">
        <v>57.899000000000001</v>
      </c>
      <c r="H10" s="11">
        <f>C2*J10</f>
        <v>-56.328653146125845</v>
      </c>
      <c r="J10" s="11" cm="1">
        <f t="array" ref="J10">(Vset_X1-Vset_X2)/(Vmeter_X1-Vmeter_X2)</f>
        <v>-0.94549236514915136</v>
      </c>
      <c r="K10" s="12" t="str">
        <f t="shared" ca="1" si="3"/>
        <v>=(Vset_X1-Vset_X2)/(Vmeter_X1-Vmeter_X2)</v>
      </c>
    </row>
    <row r="11" spans="1:11" s="11" customFormat="1">
      <c r="B11" s="11" t="s">
        <v>13</v>
      </c>
      <c r="C11" s="11">
        <v>31928</v>
      </c>
      <c r="J11" s="11" cm="1">
        <f t="array" ref="J11">Vset_X1-J10*Vmeter_X1</f>
        <v>-0.11818654564365261</v>
      </c>
      <c r="K11" s="12" t="str">
        <f t="shared" ca="1" si="3"/>
        <v>=Vset_X1-J10*Vmeter_X1</v>
      </c>
    </row>
    <row r="13" spans="1:11">
      <c r="A13" s="1" t="s">
        <v>3</v>
      </c>
      <c r="B13" s="1" t="s">
        <v>4</v>
      </c>
      <c r="C13" s="1" t="s">
        <v>5</v>
      </c>
      <c r="D13" s="1" t="s">
        <v>6</v>
      </c>
      <c r="E13" s="1" t="s">
        <v>7</v>
      </c>
      <c r="F13" s="1" t="s">
        <v>8</v>
      </c>
      <c r="G13" s="1" t="s">
        <v>9</v>
      </c>
      <c r="H13" s="1" t="s">
        <v>10</v>
      </c>
    </row>
    <row r="14" spans="1:11">
      <c r="A14" s="1">
        <v>500</v>
      </c>
      <c r="D14" s="10" cm="1">
        <f t="array" ref="D14">Vmax*Dac_Gain+Dac_Offset</f>
        <v>62346.557745946207</v>
      </c>
      <c r="E14" s="1">
        <f>E6</f>
        <v>0</v>
      </c>
      <c r="F14" s="6">
        <f>(E14/65535-0.5)*2</f>
        <v>-1</v>
      </c>
      <c r="G14" s="7">
        <f>D14/65535</f>
        <v>0.95134748982904105</v>
      </c>
      <c r="H14" s="5">
        <f>((G14*F14)*0.5+0.5)*65535</f>
        <v>1594.2211270268974</v>
      </c>
      <c r="I14" s="3" t="s">
        <v>14</v>
      </c>
      <c r="J14" s="9" cm="1">
        <f t="array" ref="J14">(Vdac_Y1-Vdac_Y2)/(Vmeter_X1-Vmeter_X2)</f>
        <v>59.144329409540013</v>
      </c>
      <c r="K14" s="4" t="str">
        <f ca="1">_xlfn.FORMULATEXT(J14)</f>
        <v>=(Vdac_Y1-Vdac_Y2)/(Vmeter_X1-Vmeter_X2)</v>
      </c>
    </row>
    <row r="15" spans="1:11">
      <c r="A15" s="1">
        <v>0</v>
      </c>
      <c r="D15" s="10" cm="1">
        <f t="array" ref="D15">Vmax*Dac_Gain+Dac_Offset</f>
        <v>62346.557745946207</v>
      </c>
      <c r="E15" s="1">
        <f>E7</f>
        <v>32767</v>
      </c>
      <c r="F15" s="6">
        <f t="shared" ref="F15:F16" si="4">(E15/65535-0.5)*2</f>
        <v>-1.5259021896696368E-5</v>
      </c>
      <c r="G15" s="7">
        <f t="shared" ref="G15:G16" si="5">D15/65535</f>
        <v>0.95134748982904105</v>
      </c>
      <c r="H15" s="5">
        <f t="shared" ref="H15:H16" si="6">((G15*F15)*0.5+0.5)*65535</f>
        <v>32767.024326255087</v>
      </c>
      <c r="I15" s="3" t="s">
        <v>15</v>
      </c>
      <c r="J15" s="8" cm="1">
        <f t="array" ref="J15">Vdac_Y1-Dac_Gain*Vmeter_X1</f>
        <v>32774.393041176198</v>
      </c>
      <c r="K15" s="4" t="str">
        <f t="shared" ref="K15:K22" ca="1" si="7">_xlfn.FORMULATEXT(J15)</f>
        <v>=Vdac_Y1-Dac_Gain*Vmeter_X1</v>
      </c>
    </row>
    <row r="16" spans="1:11">
      <c r="A16" s="1">
        <v>-500</v>
      </c>
      <c r="D16" s="10" cm="1">
        <f t="array" ref="D16">Vmax*Dac_Gain+Dac_Offset</f>
        <v>62346.557745946207</v>
      </c>
      <c r="E16" s="1">
        <f>E8</f>
        <v>65535</v>
      </c>
      <c r="F16" s="6">
        <f t="shared" si="4"/>
        <v>1</v>
      </c>
      <c r="G16" s="7">
        <f t="shared" si="5"/>
        <v>0.95134748982904105</v>
      </c>
      <c r="H16" s="5">
        <f t="shared" si="6"/>
        <v>63940.778872973104</v>
      </c>
      <c r="I16" s="1">
        <v>500</v>
      </c>
      <c r="J16" s="8" cm="1">
        <f t="array" ref="J16">I16*Dac_Gain+Dac_Offset</f>
        <v>62346.557745946207</v>
      </c>
      <c r="K16" s="4" t="str">
        <f t="shared" ca="1" si="7"/>
        <v>=I16*Dac_Gain+Dac_Offset</v>
      </c>
    </row>
    <row r="17" spans="7:11">
      <c r="G17" s="5"/>
      <c r="H17" s="5"/>
      <c r="I17" s="1">
        <v>0</v>
      </c>
      <c r="J17" s="8" cm="1">
        <f t="array" ref="J17">I17*Dac_Gain+Dac_Offset</f>
        <v>32774.393041176198</v>
      </c>
      <c r="K17" s="4" t="str">
        <f t="shared" ca="1" si="7"/>
        <v>=I17*Dac_Gain+Dac_Offset</v>
      </c>
    </row>
    <row r="18" spans="7:11">
      <c r="I18" s="1">
        <v>-500</v>
      </c>
      <c r="J18" s="8" cm="1">
        <f t="array" ref="J18">I18*Dac_Gain+Dac_Offset</f>
        <v>3202.2283364061914</v>
      </c>
      <c r="K18" s="4" t="str">
        <f t="shared" ca="1" si="7"/>
        <v>=I18*Dac_Gain+Dac_Offset</v>
      </c>
    </row>
    <row r="19" spans="7:11">
      <c r="H19" s="5"/>
      <c r="K19" s="4"/>
    </row>
    <row r="20" spans="7:11">
      <c r="H20" s="5">
        <f>H15-H14</f>
        <v>31172.80319922819</v>
      </c>
      <c r="J20" s="5">
        <f>J16-J17</f>
        <v>29572.16470477001</v>
      </c>
      <c r="K20" s="4" t="str">
        <f t="shared" ca="1" si="7"/>
        <v>=J16-J17</v>
      </c>
    </row>
    <row r="21" spans="7:11">
      <c r="H21" s="5">
        <f>H16-H15</f>
        <v>31173.754546718017</v>
      </c>
      <c r="J21" s="5">
        <f>J17-J18</f>
        <v>29572.164704770006</v>
      </c>
      <c r="K21" s="4" t="str">
        <f t="shared" ca="1" si="7"/>
        <v>=J17-J18</v>
      </c>
    </row>
    <row r="22" spans="7:11">
      <c r="H22" s="5">
        <f>H21+H20</f>
        <v>62346.557745946207</v>
      </c>
      <c r="J22" s="5">
        <f>J21+J20</f>
        <v>59144.32940954002</v>
      </c>
      <c r="K22" s="4" t="str">
        <f t="shared" ca="1" si="7"/>
        <v>=J21+J20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2025-05-08T10:05:42Z</dcterms:created>
  <dcterms:modified xsi:type="dcterms:W3CDTF">2025-05-08T11:53:18Z</dcterms:modified>
  <cp:category/>
  <cp:contentStatus/>
</cp:coreProperties>
</file>