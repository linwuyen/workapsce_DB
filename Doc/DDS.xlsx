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951A8EC4-DB98-42A5-8A03-B6F16DF20343}" xr6:coauthVersionLast="47" xr6:coauthVersionMax="47" xr10:uidLastSave="{00000000-0000-0000-0000-000000000000}"/>
  <bookViews>
    <workbookView xWindow="-120" yWindow="-120" windowWidth="29040" windowHeight="15840" xr2:uid="{163744BF-AB34-4781-A763-A7C325C547E0}"/>
  </bookViews>
  <sheets>
    <sheet name="工作表1" sheetId="1" r:id="rId1"/>
  </sheets>
  <definedNames>
    <definedName name="Increase_Step">工作表1!$B$16:$D$16</definedName>
    <definedName name="Lookup_Table_Points">工作表1!$B$15:$D$15</definedName>
    <definedName name="Output_Frequency">工作表1!$B$17:$D$17</definedName>
    <definedName name="System_Clock">工作表1!$B$14:$D$14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V23" i="1"/>
  <c r="U27" i="1"/>
  <c r="H16" i="1"/>
</calcChain>
</file>

<file path=xl/sharedStrings.xml><?xml version="1.0" encoding="utf-8"?>
<sst xmlns="http://schemas.openxmlformats.org/spreadsheetml/2006/main" count="11" uniqueCount="10">
  <si>
    <t>bit</t>
    <phoneticPr fontId="1" type="noConversion"/>
  </si>
  <si>
    <t>Look Up Table Address</t>
    <phoneticPr fontId="1" type="noConversion"/>
  </si>
  <si>
    <t>Increase Step</t>
    <phoneticPr fontId="1" type="noConversion"/>
  </si>
  <si>
    <t>MHz</t>
    <phoneticPr fontId="1" type="noConversion"/>
  </si>
  <si>
    <t>Lookup Table Points</t>
    <phoneticPr fontId="1" type="noConversion"/>
  </si>
  <si>
    <t>System Clock</t>
    <phoneticPr fontId="1" type="noConversion"/>
  </si>
  <si>
    <t>Points</t>
    <phoneticPr fontId="1" type="noConversion"/>
  </si>
  <si>
    <t>Output Frequency</t>
    <phoneticPr fontId="1" type="noConversion"/>
  </si>
  <si>
    <t>Hz</t>
    <phoneticPr fontId="1" type="noConversion"/>
  </si>
  <si>
    <t>Hex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</si>
</sst>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BC69-288C-44DD-A498-F81159C07134}">
  <dimension ref="A11:V27"/>
  <sheetViews>
    <sheetView tabSelected="1" workbookViewId="0">
      <selection activeCell="T21" sqref="T21"/>
    </sheetView>
  </sheetViews>
  <sheetFormatPr defaultRowHeight="16.5" x14ac:dyDescent="0.25"/>
  <cols>
    <col min="1" max="1" width="20.75" customWidth="1"/>
    <col min="2" max="17" width="3.125" customWidth="1"/>
  </cols>
  <sheetData>
    <row r="11" spans="1:17" x14ac:dyDescent="0.25">
      <c r="A11" s="2" t="s">
        <v>0</v>
      </c>
      <c r="B11" s="2">
        <v>15</v>
      </c>
      <c r="C11" s="2">
        <v>14</v>
      </c>
      <c r="D11" s="2">
        <v>13</v>
      </c>
      <c r="E11" s="2">
        <v>12</v>
      </c>
      <c r="F11" s="2">
        <v>11</v>
      </c>
      <c r="G11" s="2">
        <v>10</v>
      </c>
      <c r="H11" s="2">
        <v>9</v>
      </c>
      <c r="I11" s="2">
        <v>8</v>
      </c>
      <c r="J11" s="2">
        <v>7</v>
      </c>
      <c r="K11" s="2">
        <v>6</v>
      </c>
      <c r="L11" s="2">
        <v>5</v>
      </c>
      <c r="M11" s="2">
        <v>4</v>
      </c>
      <c r="N11" s="2">
        <v>3</v>
      </c>
      <c r="O11" s="2">
        <v>2</v>
      </c>
      <c r="P11" s="2">
        <v>1</v>
      </c>
      <c r="Q11" s="2">
        <v>0</v>
      </c>
    </row>
    <row r="12" spans="1:17" x14ac:dyDescent="0.25">
      <c r="A12" s="2"/>
      <c r="B12" s="3" t="s">
        <v>1</v>
      </c>
      <c r="C12" s="3"/>
      <c r="D12" s="3"/>
      <c r="E12" s="3"/>
      <c r="F12" s="3"/>
      <c r="G12" s="3"/>
      <c r="H12" s="3"/>
      <c r="I12" s="3"/>
      <c r="J12" s="4" t="s">
        <v>2</v>
      </c>
      <c r="K12" s="5"/>
      <c r="L12" s="5"/>
      <c r="M12" s="5"/>
      <c r="N12" s="5"/>
      <c r="O12" s="5"/>
      <c r="P12" s="5"/>
      <c r="Q12" s="6"/>
    </row>
    <row r="14" spans="1:17" x14ac:dyDescent="0.25">
      <c r="A14" t="s">
        <v>5</v>
      </c>
      <c r="B14" s="1">
        <v>1</v>
      </c>
      <c r="C14" s="1"/>
      <c r="D14" s="1"/>
      <c r="E14" t="s">
        <v>3</v>
      </c>
      <c r="H14" s="1"/>
      <c r="I14" s="1"/>
      <c r="J14" s="1"/>
      <c r="K14" s="1"/>
      <c r="L14" s="1"/>
      <c r="M14" s="1"/>
      <c r="N14" s="1"/>
      <c r="O14" s="1"/>
    </row>
    <row r="15" spans="1:17" x14ac:dyDescent="0.25">
      <c r="A15" t="s">
        <v>4</v>
      </c>
      <c r="B15" s="1">
        <v>256</v>
      </c>
      <c r="C15" s="1"/>
      <c r="D15" s="1"/>
      <c r="E15" t="s">
        <v>6</v>
      </c>
      <c r="H15" s="1"/>
      <c r="I15" s="1"/>
      <c r="J15" s="1"/>
      <c r="K15" s="1"/>
      <c r="L15" s="1"/>
      <c r="M15" s="1"/>
      <c r="N15" s="1"/>
      <c r="O15" s="1"/>
    </row>
    <row r="16" spans="1:17" x14ac:dyDescent="0.25">
      <c r="A16" t="s">
        <v>2</v>
      </c>
      <c r="B16" s="1" t="str">
        <f>DEC2HEX(INT(65535*Output_Frequency/(System_Clock*1000000)))</f>
        <v>3</v>
      </c>
      <c r="C16" s="1"/>
      <c r="D16" s="1"/>
      <c r="E16" s="8" t="s">
        <v>9</v>
      </c>
      <c r="F16" s="8"/>
      <c r="G16" s="8"/>
      <c r="H16" s="7" t="str">
        <f ca="1">_xlfn.FORMULATEXT(Increase_Step)</f>
        <v>=DEC2HEX(INT(65535*Output_Frequency/(System_Clock*1000000)))</v>
      </c>
      <c r="I16" s="7"/>
      <c r="J16" s="7"/>
      <c r="K16" s="7"/>
      <c r="L16" s="7"/>
      <c r="M16" s="7"/>
      <c r="N16" s="7"/>
      <c r="O16" s="7"/>
    </row>
    <row r="17" spans="1:22" x14ac:dyDescent="0.25">
      <c r="A17" t="s">
        <v>7</v>
      </c>
      <c r="B17" s="1">
        <v>60</v>
      </c>
      <c r="C17" s="1"/>
      <c r="D17" s="1"/>
      <c r="E17" t="s">
        <v>8</v>
      </c>
      <c r="H17" s="1"/>
      <c r="I17" s="1"/>
      <c r="J17" s="1"/>
      <c r="K17" s="1"/>
      <c r="L17" s="1"/>
      <c r="M17" s="1"/>
      <c r="N17" s="1"/>
      <c r="O17" s="1"/>
    </row>
    <row r="23" spans="1:22" x14ac:dyDescent="0.25">
      <c r="V23">
        <f>256*60</f>
        <v>15360</v>
      </c>
    </row>
    <row r="27" spans="1:22" x14ac:dyDescent="0.25">
      <c r="U27">
        <f>1000/256</f>
        <v>3.90625</v>
      </c>
    </row>
  </sheetData>
  <mergeCells count="9">
    <mergeCell ref="H17:O17"/>
    <mergeCell ref="B12:I12"/>
    <mergeCell ref="J12:Q12"/>
    <mergeCell ref="B14:D14"/>
    <mergeCell ref="B15:D15"/>
    <mergeCell ref="B16:D16"/>
    <mergeCell ref="B17:D17"/>
    <mergeCell ref="H14:O14"/>
    <mergeCell ref="H15:O15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4</vt:i4>
      </vt:variant>
    </vt:vector>
  </HeadingPairs>
  <TitlesOfParts>
    <vt:vector size="5" baseType="lpstr">
      <vt:lpstr>工作表1</vt:lpstr>
      <vt:lpstr>Increase_Step</vt:lpstr>
      <vt:lpstr>Lookup_Table_Points</vt:lpstr>
      <vt:lpstr>Output_Frequency</vt:lpstr>
      <vt:lpstr>System_Clock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Cody</dc:creator>
  <cp:lastModifiedBy>Chen Cody</cp:lastModifiedBy>
  <dcterms:created xsi:type="dcterms:W3CDTF">2021-11-12T22:10:52Z</dcterms:created>
  <dcterms:modified xsi:type="dcterms:W3CDTF">2021-11-12T23:19:56Z</dcterms:modified>
</cp:coreProperties>
</file>