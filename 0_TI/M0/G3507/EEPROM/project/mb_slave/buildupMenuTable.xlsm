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ody_chen\CCS12_4_F28377D\F28379D_DAB_CPU2\mb_slave\"/>
    </mc:Choice>
  </mc:AlternateContent>
  <bookViews>
    <workbookView xWindow="-120" yWindow="-120" windowWidth="29040" windowHeight="15720"/>
  </bookViews>
  <sheets>
    <sheet name="Menu" sheetId="1" r:id="rId1"/>
    <sheet name="Typedef" sheetId="3" r:id="rId2"/>
  </sheets>
  <functionGroups builtInGroupCount="18"/>
  <definedNames>
    <definedName name="Current_Sense_Gain">#REF!</definedName>
    <definedName name="Current_Sense_Offset">#REF!</definedName>
    <definedName name="Current_Shunt_Resistor">#REF!</definedName>
    <definedName name="Efficiency">#REF!</definedName>
    <definedName name="Maximum_Current_Phase">#REF!</definedName>
    <definedName name="Maximum_Driver_Arms">#REF!</definedName>
    <definedName name="Maximum_Software_OCP">#REF!</definedName>
    <definedName name="Phase_Voltage">#REF!</definedName>
    <definedName name="Pole_Pairs">#REF!</definedName>
    <definedName name="Power_Factor">#REF!</definedName>
    <definedName name="Rated_Current">#REF!</definedName>
    <definedName name="Rated_Power">#REF!</definedName>
    <definedName name="Rated_Speed">#REF!</definedName>
    <definedName name="Rated_Torque">#REF!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6" i="1" l="1"/>
  <c r="E8" i="1" l="1"/>
  <c r="D50" i="1" l="1"/>
  <c r="D78" i="1" l="1"/>
  <c r="D51" i="1"/>
  <c r="D52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</calcChain>
</file>

<file path=xl/sharedStrings.xml><?xml version="1.0" encoding="utf-8"?>
<sst xmlns="http://schemas.openxmlformats.org/spreadsheetml/2006/main" count="130" uniqueCount="79">
  <si>
    <t>Comment</t>
    <phoneticPr fontId="1" type="noConversion"/>
  </si>
  <si>
    <t>ID</t>
    <phoneticPr fontId="1" type="noConversion"/>
  </si>
  <si>
    <t>Group</t>
    <phoneticPr fontId="1" type="noConversion"/>
  </si>
  <si>
    <t>Menu</t>
    <phoneticPr fontId="1" type="noConversion"/>
  </si>
  <si>
    <t>Words</t>
    <phoneticPr fontId="1" type="noConversion"/>
  </si>
  <si>
    <t>Format</t>
    <phoneticPr fontId="1" type="noConversion"/>
  </si>
  <si>
    <t>TYP_CMD</t>
    <phoneticPr fontId="1" type="noConversion"/>
  </si>
  <si>
    <t>T_S16</t>
    <phoneticPr fontId="1" type="noConversion"/>
  </si>
  <si>
    <t>T_U16</t>
  </si>
  <si>
    <t>T_U16</t>
    <phoneticPr fontId="1" type="noConversion"/>
  </si>
  <si>
    <t>T_S32</t>
    <phoneticPr fontId="1" type="noConversion"/>
  </si>
  <si>
    <t>T_U32</t>
    <phoneticPr fontId="1" type="noConversion"/>
  </si>
  <si>
    <t>T_F32</t>
    <phoneticPr fontId="1" type="noConversion"/>
  </si>
  <si>
    <t>T_D64</t>
    <phoneticPr fontId="1" type="noConversion"/>
  </si>
  <si>
    <t>T_STR</t>
    <phoneticPr fontId="1" type="noConversion"/>
  </si>
  <si>
    <t>T_FUNC</t>
    <phoneticPr fontId="1" type="noConversion"/>
  </si>
  <si>
    <t>Link</t>
    <phoneticPr fontId="1" type="noConversion"/>
  </si>
  <si>
    <t>Voltage Reference</t>
    <phoneticPr fontId="1" type="noConversion"/>
  </si>
  <si>
    <t>Measure Voltage Output</t>
    <phoneticPr fontId="1" type="noConversion"/>
  </si>
  <si>
    <t>Measure Voltage Input</t>
    <phoneticPr fontId="1" type="noConversion"/>
  </si>
  <si>
    <t>Measure Current Output</t>
    <phoneticPr fontId="1" type="noConversion"/>
  </si>
  <si>
    <t>Measure Electronic Load Current</t>
    <phoneticPr fontId="1" type="noConversion"/>
  </si>
  <si>
    <t>Voltage Loop KP</t>
    <phoneticPr fontId="1" type="noConversion"/>
  </si>
  <si>
    <t>Voltage Loop KI</t>
    <phoneticPr fontId="1" type="noConversion"/>
  </si>
  <si>
    <t>Voltage Loop Maximum</t>
    <phoneticPr fontId="1" type="noConversion"/>
  </si>
  <si>
    <t>Voltage Loop Minimum</t>
    <phoneticPr fontId="1" type="noConversion"/>
  </si>
  <si>
    <t>Current Loop KP</t>
    <phoneticPr fontId="1" type="noConversion"/>
  </si>
  <si>
    <t>Current Loop KI</t>
    <phoneticPr fontId="1" type="noConversion"/>
  </si>
  <si>
    <t>Current Loop Maximum</t>
    <phoneticPr fontId="1" type="noConversion"/>
  </si>
  <si>
    <t>Current Loop Minimum</t>
    <phoneticPr fontId="1" type="noConversion"/>
  </si>
  <si>
    <t>Over Voltage Protection</t>
    <phoneticPr fontId="1" type="noConversion"/>
  </si>
  <si>
    <t>Enable PWM</t>
    <phoneticPr fontId="1" type="noConversion"/>
  </si>
  <si>
    <t>Control Mode</t>
    <phoneticPr fontId="1" type="noConversion"/>
  </si>
  <si>
    <t>CLA Control Status</t>
    <phoneticPr fontId="1" type="noConversion"/>
  </si>
  <si>
    <t>CLA Error Status</t>
    <phoneticPr fontId="1" type="noConversion"/>
  </si>
  <si>
    <t>T_Q15</t>
  </si>
  <si>
    <t>T_Q15</t>
    <phoneticPr fontId="1" type="noConversion"/>
  </si>
  <si>
    <t>T_F32</t>
    <phoneticPr fontId="1" type="noConversion"/>
  </si>
  <si>
    <t>WORDS</t>
    <phoneticPr fontId="1" type="noConversion"/>
  </si>
  <si>
    <t>N</t>
    <phoneticPr fontId="1" type="noConversion"/>
  </si>
  <si>
    <t>X</t>
    <phoneticPr fontId="1" type="noConversion"/>
  </si>
  <si>
    <t>Measure Temperature</t>
    <phoneticPr fontId="1" type="noConversion"/>
  </si>
  <si>
    <t>Initial Value</t>
    <phoneticPr fontId="1" type="noConversion"/>
  </si>
  <si>
    <t>Common Header</t>
    <phoneticPr fontId="1" type="noConversion"/>
  </si>
  <si>
    <t>Common Length</t>
    <phoneticPr fontId="1" type="noConversion"/>
  </si>
  <si>
    <t>User Parameter Offset</t>
    <phoneticPr fontId="1" type="noConversion"/>
  </si>
  <si>
    <t>Advance Parameter Offset</t>
    <phoneticPr fontId="1" type="noConversion"/>
  </si>
  <si>
    <t>Machine Information Offset</t>
    <phoneticPr fontId="1" type="noConversion"/>
  </si>
  <si>
    <t>Common Checksum</t>
    <phoneticPr fontId="1" type="noConversion"/>
  </si>
  <si>
    <t>Country Code</t>
    <phoneticPr fontId="1" type="noConversion"/>
  </si>
  <si>
    <t>Vender ID</t>
    <phoneticPr fontId="1" type="noConversion"/>
  </si>
  <si>
    <t>T_U32</t>
  </si>
  <si>
    <t>Build Date</t>
    <phoneticPr fontId="1" type="noConversion"/>
  </si>
  <si>
    <t>Q15 Maximum</t>
    <phoneticPr fontId="1" type="noConversion"/>
  </si>
  <si>
    <t>Eeprom Group</t>
    <phoneticPr fontId="1" type="noConversion"/>
  </si>
  <si>
    <t>UserRegs</t>
    <phoneticPr fontId="1" type="noConversion"/>
  </si>
  <si>
    <t>BoardRegs</t>
    <phoneticPr fontId="1" type="noConversion"/>
  </si>
  <si>
    <t>BoardRegs</t>
    <phoneticPr fontId="1" type="noConversion"/>
  </si>
  <si>
    <t>Over Current Protection</t>
    <phoneticPr fontId="1" type="noConversion"/>
  </si>
  <si>
    <t>Firmware Build Date</t>
    <phoneticPr fontId="1" type="noConversion"/>
  </si>
  <si>
    <t>DAC Channel</t>
    <phoneticPr fontId="1" type="noConversion"/>
  </si>
  <si>
    <t>Enable EL</t>
    <phoneticPr fontId="1" type="noConversion"/>
  </si>
  <si>
    <t>Over EL Current Protection</t>
    <phoneticPr fontId="1" type="noConversion"/>
  </si>
  <si>
    <t>Over IL Current Protection</t>
    <phoneticPr fontId="1" type="noConversion"/>
  </si>
  <si>
    <t>DAC Ch Data Reference</t>
    <phoneticPr fontId="1" type="noConversion"/>
  </si>
  <si>
    <t>E-Load Error Status</t>
    <phoneticPr fontId="1" type="noConversion"/>
  </si>
  <si>
    <t>// 1-&gt;A CH ; 2-&gt;B CH ; 3-&gt;ALL CH</t>
    <phoneticPr fontId="1" type="noConversion"/>
  </si>
  <si>
    <t xml:space="preserve">Measure Inductor Current </t>
    <phoneticPr fontId="1" type="noConversion"/>
  </si>
  <si>
    <t>DAC SPI Format</t>
    <phoneticPr fontId="1" type="noConversion"/>
  </si>
  <si>
    <t>E-Load LDNO Status</t>
    <phoneticPr fontId="1" type="noConversion"/>
  </si>
  <si>
    <t>// A CH E-LOAD Curt Reference</t>
    <phoneticPr fontId="1" type="noConversion"/>
  </si>
  <si>
    <t>E-Load Von Reference</t>
    <phoneticPr fontId="1" type="noConversion"/>
  </si>
  <si>
    <t>E-Load Von Enable</t>
    <phoneticPr fontId="1" type="noConversion"/>
  </si>
  <si>
    <t>Positive Current Limit</t>
    <phoneticPr fontId="1" type="noConversion"/>
  </si>
  <si>
    <t>Negative Current Limit</t>
    <phoneticPr fontId="1" type="noConversion"/>
  </si>
  <si>
    <t>Reserved1</t>
    <phoneticPr fontId="1" type="noConversion"/>
  </si>
  <si>
    <t>Reserved0</t>
    <phoneticPr fontId="1" type="noConversion"/>
  </si>
  <si>
    <t>Heartbeat C28</t>
    <phoneticPr fontId="1" type="noConversion"/>
  </si>
  <si>
    <t>Heartbeat CLA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</si>
</sst>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2" borderId="0" xfId="0" applyFont="1" applyFill="1">
      <alignment vertical="center"/>
    </xf>
    <xf numFmtId="49" fontId="2" fillId="2" borderId="0" xfId="0" applyNumberFormat="1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485775</xdr:colOff>
          <xdr:row>0</xdr:row>
          <xdr:rowOff>200025</xdr:rowOff>
        </xdr:from>
        <xdr:to>
          <xdr:col>1</xdr:col>
          <xdr:colOff>1533525</xdr:colOff>
          <xdr:row>0</xdr:row>
          <xdr:rowOff>771525</xdr:rowOff>
        </xdr:to>
        <xdr:sp macro="" textlink="">
          <xdr:nvSpPr>
            <xdr:cNvPr id="1027" name="Build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主題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mdTable"/>
  <dimension ref="A1:J78"/>
  <sheetViews>
    <sheetView tabSelected="1" zoomScaleNormal="100" workbookViewId="0">
      <selection activeCell="D9" sqref="D9"/>
    </sheetView>
  </sheetViews>
  <sheetFormatPr defaultRowHeight="16.5"/>
  <cols>
    <col min="1" max="1" width="7.125" customWidth="1"/>
    <col min="2" max="2" width="27.75" customWidth="1"/>
    <col min="3" max="3" width="10.25" style="1" customWidth="1"/>
    <col min="4" max="5" width="14.375" style="1" customWidth="1"/>
    <col min="6" max="6" width="9" style="7"/>
    <col min="7" max="7" width="31.125" bestFit="1" customWidth="1"/>
    <col min="8" max="8" width="13.75" style="9" bestFit="1" customWidth="1"/>
    <col min="9" max="9" width="14.625" style="9" customWidth="1"/>
    <col min="10" max="10" width="30" style="9" bestFit="1" customWidth="1"/>
  </cols>
  <sheetData>
    <row r="1" spans="1:10" ht="73.5" customHeight="1"/>
    <row r="2" spans="1:10" s="3" customFormat="1">
      <c r="A2" s="3" t="s">
        <v>2</v>
      </c>
      <c r="B2" s="3" t="s">
        <v>3</v>
      </c>
      <c r="C2" s="4" t="s">
        <v>5</v>
      </c>
      <c r="D2" s="4" t="s">
        <v>4</v>
      </c>
      <c r="E2" s="4" t="s">
        <v>42</v>
      </c>
      <c r="F2" s="7" t="s">
        <v>1</v>
      </c>
      <c r="G2" s="5" t="s">
        <v>16</v>
      </c>
      <c r="H2" s="5" t="s">
        <v>53</v>
      </c>
      <c r="I2" s="5" t="s">
        <v>54</v>
      </c>
      <c r="J2" s="5" t="s">
        <v>0</v>
      </c>
    </row>
    <row r="3" spans="1:10">
      <c r="A3">
        <v>0</v>
      </c>
      <c r="B3" t="s">
        <v>43</v>
      </c>
      <c r="C3" s="6" t="s">
        <v>9</v>
      </c>
      <c r="D3" s="8">
        <v>1</v>
      </c>
      <c r="E3" s="8">
        <v>1234</v>
      </c>
      <c r="F3" s="7">
        <v>0</v>
      </c>
    </row>
    <row r="4" spans="1:10">
      <c r="B4" t="s">
        <v>44</v>
      </c>
      <c r="C4" s="6" t="s">
        <v>9</v>
      </c>
      <c r="D4" s="8">
        <v>1</v>
      </c>
      <c r="E4" s="8">
        <v>4</v>
      </c>
      <c r="F4" s="7">
        <v>1</v>
      </c>
    </row>
    <row r="5" spans="1:10">
      <c r="B5" t="s">
        <v>47</v>
      </c>
      <c r="C5" s="6" t="s">
        <v>9</v>
      </c>
      <c r="D5" s="8">
        <v>1</v>
      </c>
      <c r="E5" s="8">
        <v>9000</v>
      </c>
      <c r="F5" s="7">
        <v>2</v>
      </c>
    </row>
    <row r="6" spans="1:10">
      <c r="B6" t="s">
        <v>45</v>
      </c>
      <c r="C6" s="6" t="s">
        <v>9</v>
      </c>
      <c r="D6" s="8">
        <v>1</v>
      </c>
      <c r="E6" s="8">
        <v>1000</v>
      </c>
      <c r="F6" s="7">
        <v>3</v>
      </c>
    </row>
    <row r="7" spans="1:10">
      <c r="B7" t="s">
        <v>46</v>
      </c>
      <c r="C7" s="6" t="s">
        <v>9</v>
      </c>
      <c r="D7" s="8">
        <v>1</v>
      </c>
      <c r="E7" s="8">
        <v>1020</v>
      </c>
      <c r="F7" s="7">
        <v>4</v>
      </c>
    </row>
    <row r="8" spans="1:10">
      <c r="B8" t="s">
        <v>48</v>
      </c>
      <c r="C8" s="6" t="s">
        <v>9</v>
      </c>
      <c r="D8" s="8">
        <v>1</v>
      </c>
      <c r="E8" s="8">
        <f>SUM(E3:E7)</f>
        <v>12258</v>
      </c>
      <c r="F8" s="7">
        <v>5</v>
      </c>
    </row>
    <row r="9" spans="1:10">
      <c r="A9">
        <v>1000</v>
      </c>
      <c r="B9" t="s">
        <v>33</v>
      </c>
      <c r="C9" s="6" t="s">
        <v>9</v>
      </c>
      <c r="D9" s="8">
        <v>1</v>
      </c>
      <c r="E9" s="8"/>
      <c r="F9" s="5">
        <v>1000</v>
      </c>
    </row>
    <row r="10" spans="1:10">
      <c r="B10" t="s">
        <v>34</v>
      </c>
      <c r="C10" s="6" t="s">
        <v>9</v>
      </c>
      <c r="D10" s="8">
        <v>1</v>
      </c>
      <c r="E10" s="8"/>
      <c r="F10" s="5">
        <v>1001</v>
      </c>
    </row>
    <row r="11" spans="1:10">
      <c r="B11" t="s">
        <v>31</v>
      </c>
      <c r="C11" s="6" t="s">
        <v>9</v>
      </c>
      <c r="D11" s="8">
        <v>1</v>
      </c>
      <c r="E11" s="8"/>
      <c r="F11" s="7">
        <v>1002</v>
      </c>
    </row>
    <row r="12" spans="1:10">
      <c r="B12" t="s">
        <v>32</v>
      </c>
      <c r="C12" s="6" t="s">
        <v>8</v>
      </c>
      <c r="D12" s="8">
        <v>1</v>
      </c>
      <c r="E12" s="8"/>
      <c r="F12" s="7">
        <v>1003</v>
      </c>
    </row>
    <row r="13" spans="1:10">
      <c r="B13" t="s">
        <v>17</v>
      </c>
      <c r="C13" s="6" t="s">
        <v>35</v>
      </c>
      <c r="D13" s="8">
        <v>1</v>
      </c>
      <c r="E13" s="8"/>
      <c r="F13" s="7">
        <v>1004</v>
      </c>
      <c r="H13" s="9">
        <v>60</v>
      </c>
      <c r="I13" s="9" t="s">
        <v>55</v>
      </c>
    </row>
    <row r="14" spans="1:10">
      <c r="B14" t="s">
        <v>73</v>
      </c>
      <c r="C14" s="6" t="s">
        <v>35</v>
      </c>
      <c r="D14" s="8">
        <v>1</v>
      </c>
      <c r="E14" s="8"/>
      <c r="F14" s="7">
        <v>1005</v>
      </c>
      <c r="H14" s="9">
        <v>25</v>
      </c>
      <c r="I14" s="9" t="s">
        <v>55</v>
      </c>
    </row>
    <row r="15" spans="1:10">
      <c r="B15" t="s">
        <v>74</v>
      </c>
      <c r="C15" s="6" t="s">
        <v>35</v>
      </c>
      <c r="D15" s="8">
        <v>1</v>
      </c>
      <c r="E15" s="8"/>
      <c r="F15" s="7">
        <v>1006</v>
      </c>
      <c r="H15" s="9">
        <v>25</v>
      </c>
      <c r="I15" s="9" t="s">
        <v>55</v>
      </c>
    </row>
    <row r="16" spans="1:10">
      <c r="B16" t="s">
        <v>76</v>
      </c>
      <c r="C16" s="6" t="s">
        <v>8</v>
      </c>
      <c r="D16" s="8">
        <v>1</v>
      </c>
      <c r="E16" s="8"/>
      <c r="F16" s="7">
        <v>1007</v>
      </c>
    </row>
    <row r="17" spans="2:10">
      <c r="B17" t="s">
        <v>58</v>
      </c>
      <c r="C17" s="6" t="s">
        <v>35</v>
      </c>
      <c r="D17" s="8">
        <v>1</v>
      </c>
      <c r="E17" s="8"/>
      <c r="F17" s="7">
        <v>1008</v>
      </c>
      <c r="H17" s="9">
        <v>25</v>
      </c>
    </row>
    <row r="18" spans="2:10">
      <c r="B18" t="s">
        <v>63</v>
      </c>
      <c r="C18" s="6" t="s">
        <v>35</v>
      </c>
      <c r="D18" s="8">
        <v>1</v>
      </c>
      <c r="E18" s="8"/>
      <c r="F18" s="7">
        <v>1009</v>
      </c>
      <c r="H18" s="9">
        <v>25</v>
      </c>
    </row>
    <row r="19" spans="2:10">
      <c r="B19" t="s">
        <v>62</v>
      </c>
      <c r="C19" s="6" t="s">
        <v>35</v>
      </c>
      <c r="D19" s="8">
        <v>1</v>
      </c>
      <c r="E19" s="8"/>
      <c r="F19" s="7">
        <v>1010</v>
      </c>
      <c r="H19" s="9">
        <v>20</v>
      </c>
    </row>
    <row r="20" spans="2:10">
      <c r="B20" t="s">
        <v>30</v>
      </c>
      <c r="C20" s="6" t="s">
        <v>35</v>
      </c>
      <c r="D20" s="8">
        <v>1</v>
      </c>
      <c r="E20" s="8"/>
      <c r="F20" s="7">
        <v>1011</v>
      </c>
      <c r="H20" s="9">
        <v>60</v>
      </c>
    </row>
    <row r="21" spans="2:10">
      <c r="B21" t="s">
        <v>18</v>
      </c>
      <c r="C21" s="6" t="s">
        <v>35</v>
      </c>
      <c r="D21" s="8">
        <v>1</v>
      </c>
      <c r="E21" s="8"/>
      <c r="F21" s="7">
        <v>1012</v>
      </c>
    </row>
    <row r="22" spans="2:10">
      <c r="B22" t="s">
        <v>19</v>
      </c>
      <c r="C22" s="6" t="s">
        <v>35</v>
      </c>
      <c r="D22" s="8">
        <v>1</v>
      </c>
      <c r="E22" s="8"/>
      <c r="F22" s="7">
        <v>1013</v>
      </c>
    </row>
    <row r="23" spans="2:10">
      <c r="B23" t="s">
        <v>20</v>
      </c>
      <c r="C23" s="6" t="s">
        <v>35</v>
      </c>
      <c r="D23" s="8">
        <v>1</v>
      </c>
      <c r="E23" s="8"/>
      <c r="F23" s="7">
        <v>1014</v>
      </c>
    </row>
    <row r="24" spans="2:10">
      <c r="B24" t="s">
        <v>67</v>
      </c>
      <c r="C24" s="6" t="s">
        <v>35</v>
      </c>
      <c r="D24" s="8">
        <v>1</v>
      </c>
      <c r="E24" s="8"/>
      <c r="F24" s="7">
        <v>1015</v>
      </c>
    </row>
    <row r="25" spans="2:10">
      <c r="B25" t="s">
        <v>21</v>
      </c>
      <c r="C25" s="6" t="s">
        <v>35</v>
      </c>
      <c r="D25" s="8">
        <v>1</v>
      </c>
      <c r="E25" s="8"/>
      <c r="F25" s="7">
        <v>1016</v>
      </c>
    </row>
    <row r="26" spans="2:10">
      <c r="B26" t="s">
        <v>60</v>
      </c>
      <c r="C26" s="6" t="s">
        <v>8</v>
      </c>
      <c r="D26" s="8">
        <v>1</v>
      </c>
      <c r="E26" s="8">
        <v>1</v>
      </c>
      <c r="F26" s="7">
        <v>1017</v>
      </c>
      <c r="J26" s="2" t="s">
        <v>66</v>
      </c>
    </row>
    <row r="27" spans="2:10">
      <c r="B27" t="s">
        <v>64</v>
      </c>
      <c r="C27" s="6" t="s">
        <v>35</v>
      </c>
      <c r="D27" s="8">
        <v>1</v>
      </c>
      <c r="E27" s="8"/>
      <c r="F27" s="7">
        <v>1018</v>
      </c>
      <c r="H27" s="9">
        <v>20</v>
      </c>
      <c r="J27" s="2" t="s">
        <v>70</v>
      </c>
    </row>
    <row r="28" spans="2:10">
      <c r="B28" t="s">
        <v>71</v>
      </c>
      <c r="C28" s="6" t="s">
        <v>35</v>
      </c>
      <c r="D28" s="8">
        <v>1</v>
      </c>
      <c r="E28" s="8"/>
      <c r="F28" s="7">
        <v>1019</v>
      </c>
      <c r="H28" s="9">
        <v>60</v>
      </c>
    </row>
    <row r="29" spans="2:10">
      <c r="B29" t="s">
        <v>68</v>
      </c>
      <c r="C29" s="6" t="s">
        <v>51</v>
      </c>
      <c r="D29" s="8">
        <v>2</v>
      </c>
      <c r="E29" s="8"/>
      <c r="F29" s="7">
        <v>1020</v>
      </c>
      <c r="J29" s="2"/>
    </row>
    <row r="30" spans="2:10">
      <c r="B30" t="s">
        <v>61</v>
      </c>
      <c r="C30" s="6" t="s">
        <v>8</v>
      </c>
      <c r="D30" s="8">
        <v>1</v>
      </c>
      <c r="E30" s="8">
        <v>0</v>
      </c>
      <c r="F30" s="7">
        <v>1022</v>
      </c>
    </row>
    <row r="31" spans="2:10">
      <c r="B31" t="s">
        <v>65</v>
      </c>
      <c r="C31" s="6" t="s">
        <v>9</v>
      </c>
      <c r="D31" s="8">
        <v>1</v>
      </c>
      <c r="E31" s="8"/>
      <c r="F31" s="7">
        <v>1023</v>
      </c>
      <c r="G31" s="10"/>
    </row>
    <row r="32" spans="2:10">
      <c r="B32" t="s">
        <v>69</v>
      </c>
      <c r="C32" s="6" t="s">
        <v>8</v>
      </c>
      <c r="D32" s="8">
        <v>1</v>
      </c>
      <c r="E32" s="8"/>
      <c r="F32" s="7">
        <v>1024</v>
      </c>
      <c r="G32" s="10"/>
    </row>
    <row r="33" spans="1:9">
      <c r="B33" t="s">
        <v>72</v>
      </c>
      <c r="C33" s="6" t="s">
        <v>8</v>
      </c>
      <c r="D33" s="8">
        <v>1</v>
      </c>
      <c r="E33" s="8">
        <v>1</v>
      </c>
      <c r="F33" s="7">
        <v>1025</v>
      </c>
      <c r="G33" s="10"/>
    </row>
    <row r="34" spans="1:9">
      <c r="B34" t="s">
        <v>75</v>
      </c>
      <c r="C34" s="6" t="s">
        <v>8</v>
      </c>
      <c r="D34" s="8">
        <v>1</v>
      </c>
      <c r="E34" s="8"/>
      <c r="F34" s="7">
        <v>1026</v>
      </c>
      <c r="G34" s="10"/>
    </row>
    <row r="35" spans="1:9">
      <c r="B35" t="s">
        <v>41</v>
      </c>
      <c r="C35" s="6" t="s">
        <v>35</v>
      </c>
      <c r="D35" s="8">
        <v>1</v>
      </c>
      <c r="E35" s="8"/>
      <c r="F35" s="7">
        <v>1027</v>
      </c>
    </row>
    <row r="36" spans="1:9">
      <c r="B36" t="s">
        <v>59</v>
      </c>
      <c r="C36" s="6" t="s">
        <v>51</v>
      </c>
      <c r="D36" s="8">
        <v>2</v>
      </c>
      <c r="E36" s="8">
        <f>E49</f>
        <v>2023083110</v>
      </c>
      <c r="F36" s="7">
        <v>1028</v>
      </c>
    </row>
    <row r="37" spans="1:9">
      <c r="A37">
        <v>1030</v>
      </c>
      <c r="B37" t="s">
        <v>22</v>
      </c>
      <c r="C37" s="6" t="s">
        <v>37</v>
      </c>
      <c r="D37" s="8">
        <v>2</v>
      </c>
      <c r="E37" s="8">
        <v>2</v>
      </c>
      <c r="F37" s="7">
        <v>1030</v>
      </c>
      <c r="I37" s="9" t="s">
        <v>56</v>
      </c>
    </row>
    <row r="38" spans="1:9">
      <c r="B38" t="s">
        <v>23</v>
      </c>
      <c r="C38" s="6" t="s">
        <v>37</v>
      </c>
      <c r="D38" s="8">
        <v>2</v>
      </c>
      <c r="E38" s="8">
        <v>0.02</v>
      </c>
      <c r="F38" s="7">
        <v>1032</v>
      </c>
      <c r="I38" s="9" t="s">
        <v>56</v>
      </c>
    </row>
    <row r="39" spans="1:9">
      <c r="B39" t="s">
        <v>24</v>
      </c>
      <c r="C39" s="6" t="s">
        <v>37</v>
      </c>
      <c r="D39" s="8">
        <v>2</v>
      </c>
      <c r="E39" s="8">
        <v>1</v>
      </c>
      <c r="F39" s="7">
        <v>1034</v>
      </c>
      <c r="I39" s="9" t="s">
        <v>57</v>
      </c>
    </row>
    <row r="40" spans="1:9">
      <c r="B40" t="s">
        <v>25</v>
      </c>
      <c r="C40" s="6" t="s">
        <v>37</v>
      </c>
      <c r="D40" s="8">
        <v>2</v>
      </c>
      <c r="E40" s="8">
        <v>-1</v>
      </c>
      <c r="F40" s="7">
        <v>1036</v>
      </c>
      <c r="I40" s="9" t="s">
        <v>56</v>
      </c>
    </row>
    <row r="41" spans="1:9">
      <c r="B41" t="s">
        <v>26</v>
      </c>
      <c r="C41" s="6" t="s">
        <v>37</v>
      </c>
      <c r="D41" s="8">
        <v>2</v>
      </c>
      <c r="E41" s="8">
        <v>1</v>
      </c>
      <c r="F41" s="7">
        <v>1038</v>
      </c>
      <c r="I41" s="9" t="s">
        <v>57</v>
      </c>
    </row>
    <row r="42" spans="1:9">
      <c r="B42" t="s">
        <v>27</v>
      </c>
      <c r="C42" s="6" t="s">
        <v>37</v>
      </c>
      <c r="D42" s="8">
        <v>2</v>
      </c>
      <c r="E42" s="8">
        <v>0.1</v>
      </c>
      <c r="F42" s="7">
        <v>1040</v>
      </c>
      <c r="I42" s="9" t="s">
        <v>56</v>
      </c>
    </row>
    <row r="43" spans="1:9">
      <c r="B43" t="s">
        <v>28</v>
      </c>
      <c r="C43" s="6" t="s">
        <v>37</v>
      </c>
      <c r="D43" s="8">
        <v>2</v>
      </c>
      <c r="E43" s="8">
        <v>1</v>
      </c>
      <c r="F43" s="7">
        <v>1042</v>
      </c>
      <c r="I43" s="9" t="s">
        <v>57</v>
      </c>
    </row>
    <row r="44" spans="1:9">
      <c r="B44" t="s">
        <v>29</v>
      </c>
      <c r="C44" s="6" t="s">
        <v>37</v>
      </c>
      <c r="D44" s="8">
        <v>2</v>
      </c>
      <c r="E44" s="8">
        <v>-1</v>
      </c>
      <c r="F44" s="7">
        <v>1044</v>
      </c>
      <c r="I44" s="9" t="s">
        <v>56</v>
      </c>
    </row>
    <row r="45" spans="1:9">
      <c r="B45" t="s">
        <v>77</v>
      </c>
      <c r="C45" s="6" t="s">
        <v>51</v>
      </c>
      <c r="D45" s="8">
        <v>2</v>
      </c>
      <c r="E45" s="8"/>
      <c r="F45" s="7">
        <v>1046</v>
      </c>
    </row>
    <row r="46" spans="1:9">
      <c r="B46" t="s">
        <v>78</v>
      </c>
      <c r="C46" s="6" t="s">
        <v>51</v>
      </c>
      <c r="D46" s="8">
        <v>2</v>
      </c>
      <c r="E46" s="8"/>
      <c r="F46" s="7">
        <v>1048</v>
      </c>
    </row>
    <row r="47" spans="1:9">
      <c r="A47">
        <v>9000</v>
      </c>
      <c r="B47" t="s">
        <v>49</v>
      </c>
      <c r="C47" s="6" t="s">
        <v>8</v>
      </c>
      <c r="D47" s="8">
        <v>1</v>
      </c>
      <c r="E47" s="8">
        <v>886</v>
      </c>
      <c r="F47" s="7">
        <v>9000</v>
      </c>
    </row>
    <row r="48" spans="1:9">
      <c r="B48" t="s">
        <v>50</v>
      </c>
      <c r="C48" s="6" t="s">
        <v>8</v>
      </c>
      <c r="D48" s="8">
        <v>1</v>
      </c>
      <c r="E48" s="8">
        <v>2423</v>
      </c>
      <c r="F48" s="7">
        <v>9001</v>
      </c>
    </row>
    <row r="49" spans="2:6">
      <c r="B49" t="s">
        <v>52</v>
      </c>
      <c r="C49" s="6" t="s">
        <v>51</v>
      </c>
      <c r="D49" s="8">
        <v>2</v>
      </c>
      <c r="E49" s="8">
        <v>2023083110</v>
      </c>
      <c r="F49" s="7">
        <v>9002</v>
      </c>
    </row>
    <row r="50" spans="2:6">
      <c r="D50" s="8" t="str">
        <f t="shared" ref="D50:D78" si="0">IF(0&lt;LEN(C50),IF("TR" = RIGHT(C50,2), "", IF("16" = RIGHT(C50,2), 1, IF("32" = RIGHT(C50, 2), 2, 4))), "")</f>
        <v/>
      </c>
      <c r="E50" s="8"/>
    </row>
    <row r="51" spans="2:6">
      <c r="D51" s="8" t="str">
        <f t="shared" si="0"/>
        <v/>
      </c>
      <c r="E51" s="8"/>
    </row>
    <row r="52" spans="2:6">
      <c r="D52" s="8" t="str">
        <f t="shared" si="0"/>
        <v/>
      </c>
      <c r="E52" s="8"/>
    </row>
    <row r="56" spans="2:6">
      <c r="D56" s="8" t="str">
        <f t="shared" si="0"/>
        <v/>
      </c>
      <c r="E56" s="8"/>
    </row>
    <row r="57" spans="2:6">
      <c r="D57" s="8" t="str">
        <f t="shared" si="0"/>
        <v/>
      </c>
      <c r="E57" s="8"/>
    </row>
    <row r="58" spans="2:6">
      <c r="D58" s="8" t="str">
        <f t="shared" si="0"/>
        <v/>
      </c>
      <c r="E58" s="8"/>
    </row>
    <row r="59" spans="2:6">
      <c r="D59" s="8" t="str">
        <f t="shared" si="0"/>
        <v/>
      </c>
      <c r="E59" s="8"/>
    </row>
    <row r="60" spans="2:6">
      <c r="D60" s="8" t="str">
        <f t="shared" si="0"/>
        <v/>
      </c>
      <c r="E60" s="8"/>
    </row>
    <row r="61" spans="2:6">
      <c r="D61" s="8" t="str">
        <f t="shared" si="0"/>
        <v/>
      </c>
      <c r="E61" s="8"/>
    </row>
    <row r="62" spans="2:6">
      <c r="D62" s="8" t="str">
        <f t="shared" si="0"/>
        <v/>
      </c>
      <c r="E62" s="8"/>
    </row>
    <row r="63" spans="2:6">
      <c r="D63" s="8" t="str">
        <f t="shared" si="0"/>
        <v/>
      </c>
      <c r="E63" s="8"/>
    </row>
    <row r="64" spans="2:6">
      <c r="D64" s="8" t="str">
        <f t="shared" si="0"/>
        <v/>
      </c>
      <c r="E64" s="8"/>
    </row>
    <row r="65" spans="4:5">
      <c r="D65" s="8" t="str">
        <f t="shared" si="0"/>
        <v/>
      </c>
      <c r="E65" s="8"/>
    </row>
    <row r="66" spans="4:5">
      <c r="D66" s="8" t="str">
        <f t="shared" si="0"/>
        <v/>
      </c>
      <c r="E66" s="8"/>
    </row>
    <row r="67" spans="4:5">
      <c r="D67" s="8" t="str">
        <f t="shared" si="0"/>
        <v/>
      </c>
      <c r="E67" s="8"/>
    </row>
    <row r="68" spans="4:5">
      <c r="D68" s="8" t="str">
        <f t="shared" si="0"/>
        <v/>
      </c>
      <c r="E68" s="8"/>
    </row>
    <row r="69" spans="4:5">
      <c r="D69" s="8" t="str">
        <f t="shared" si="0"/>
        <v/>
      </c>
      <c r="E69" s="8"/>
    </row>
    <row r="70" spans="4:5">
      <c r="D70" s="8" t="str">
        <f t="shared" si="0"/>
        <v/>
      </c>
      <c r="E70" s="8"/>
    </row>
    <row r="71" spans="4:5">
      <c r="D71" s="8" t="str">
        <f t="shared" si="0"/>
        <v/>
      </c>
      <c r="E71" s="8"/>
    </row>
    <row r="72" spans="4:5">
      <c r="D72" s="8" t="str">
        <f t="shared" si="0"/>
        <v/>
      </c>
      <c r="E72" s="8"/>
    </row>
    <row r="73" spans="4:5">
      <c r="D73" s="8" t="str">
        <f t="shared" si="0"/>
        <v/>
      </c>
      <c r="E73" s="8"/>
    </row>
    <row r="74" spans="4:5">
      <c r="D74" s="8" t="str">
        <f t="shared" si="0"/>
        <v/>
      </c>
      <c r="E74" s="8"/>
    </row>
    <row r="75" spans="4:5">
      <c r="D75" s="8" t="str">
        <f t="shared" si="0"/>
        <v/>
      </c>
      <c r="E75" s="8"/>
    </row>
    <row r="76" spans="4:5">
      <c r="D76" s="8" t="str">
        <f t="shared" si="0"/>
        <v/>
      </c>
      <c r="E76" s="8"/>
    </row>
    <row r="77" spans="4:5">
      <c r="D77" s="8" t="str">
        <f t="shared" si="0"/>
        <v/>
      </c>
      <c r="E77" s="8"/>
    </row>
    <row r="78" spans="4:5">
      <c r="D78" s="8" t="str">
        <f t="shared" si="0"/>
        <v/>
      </c>
      <c r="E78" s="8"/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BuildButton">
          <controlPr defaultSize="0" autoLine="0" r:id="rId5">
            <anchor moveWithCells="1">
              <from>
                <xdr:col>0</xdr:col>
                <xdr:colOff>485775</xdr:colOff>
                <xdr:row>0</xdr:row>
                <xdr:rowOff>200025</xdr:rowOff>
              </from>
              <to>
                <xdr:col>1</xdr:col>
                <xdr:colOff>1533525</xdr:colOff>
                <xdr:row>0</xdr:row>
                <xdr:rowOff>771525</xdr:rowOff>
              </to>
            </anchor>
          </controlPr>
        </control>
      </mc:Choice>
      <mc:Fallback>
        <control shapeId="1027" r:id="rId4" name="Build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Typedef!$A$2:$A$20</xm:f>
          </x14:formula1>
          <xm:sqref>C3:C12 C31:C34 C16</xm:sqref>
        </x14:dataValidation>
        <x14:dataValidation type="list" allowBlank="1" showInputMessage="1" showErrorMessage="1">
          <x14:formula1>
            <xm:f>Typedef!$A$2:$A$50</xm:f>
          </x14:formula1>
          <xm:sqref>C47:C49 C36</xm:sqref>
        </x14:dataValidation>
        <x14:dataValidation type="list" allowBlank="1" showInputMessage="1" showErrorMessage="1">
          <x14:formula1>
            <xm:f>Typedef!$A$2:$A$30</xm:f>
          </x14:formula1>
          <xm:sqref>C17:C30 C35 C13:C15 C37:C46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mdType"/>
  <dimension ref="A1:B10"/>
  <sheetViews>
    <sheetView workbookViewId="0">
      <selection activeCell="B2" sqref="B2"/>
    </sheetView>
  </sheetViews>
  <sheetFormatPr defaultRowHeight="16.5"/>
  <cols>
    <col min="1" max="1" width="10.25" bestFit="1" customWidth="1"/>
  </cols>
  <sheetData>
    <row r="1" spans="1:2">
      <c r="A1" t="s">
        <v>6</v>
      </c>
      <c r="B1" t="s">
        <v>38</v>
      </c>
    </row>
    <row r="2" spans="1:2">
      <c r="A2" t="s">
        <v>7</v>
      </c>
      <c r="B2" s="2">
        <v>1</v>
      </c>
    </row>
    <row r="3" spans="1:2">
      <c r="A3" t="s">
        <v>9</v>
      </c>
      <c r="B3" s="2">
        <v>1</v>
      </c>
    </row>
    <row r="4" spans="1:2">
      <c r="A4" t="s">
        <v>10</v>
      </c>
      <c r="B4" s="2">
        <v>2</v>
      </c>
    </row>
    <row r="5" spans="1:2">
      <c r="A5" t="s">
        <v>11</v>
      </c>
      <c r="B5" s="2">
        <v>2</v>
      </c>
    </row>
    <row r="6" spans="1:2">
      <c r="A6" t="s">
        <v>12</v>
      </c>
      <c r="B6" s="2">
        <v>2</v>
      </c>
    </row>
    <row r="7" spans="1:2">
      <c r="A7" t="s">
        <v>13</v>
      </c>
      <c r="B7" s="2">
        <v>4</v>
      </c>
    </row>
    <row r="8" spans="1:2">
      <c r="A8" t="s">
        <v>14</v>
      </c>
      <c r="B8" s="2" t="s">
        <v>39</v>
      </c>
    </row>
    <row r="9" spans="1:2">
      <c r="A9" t="s">
        <v>15</v>
      </c>
      <c r="B9" s="2" t="s">
        <v>40</v>
      </c>
    </row>
    <row r="10" spans="1:2">
      <c r="A10" t="s">
        <v>36</v>
      </c>
      <c r="B10" s="2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Menu</vt:lpstr>
      <vt:lpstr>Typedef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 Cody</dc:creator>
  <cp:lastModifiedBy>陳彥百</cp:lastModifiedBy>
  <dcterms:created xsi:type="dcterms:W3CDTF">2020-09-30T01:47:31Z</dcterms:created>
  <dcterms:modified xsi:type="dcterms:W3CDTF">2024-03-05T08:45:28Z</dcterms:modified>
</cp:coreProperties>
</file>