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er_lin\0810\empty_driverlib_project_FLASH\mb_slave\"/>
    </mc:Choice>
  </mc:AlternateContent>
  <bookViews>
    <workbookView xWindow="-120" yWindow="-120" windowWidth="29040" windowHeight="1584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1" l="1"/>
  <c r="D34" i="1" l="1"/>
  <c r="D62" i="1" l="1"/>
  <c r="D35" i="1"/>
  <c r="D36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</calcChain>
</file>

<file path=xl/sharedStrings.xml><?xml version="1.0" encoding="utf-8"?>
<sst xmlns="http://schemas.openxmlformats.org/spreadsheetml/2006/main" count="84" uniqueCount="57">
  <si>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</si>
  <si>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</si>
  <si>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</si>
  <si>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</si>
  <si>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</si>
  <si>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</si>
  <si>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</si>
  <si>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</si>
  <si>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</si>
  <si>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</si>
  <si>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</si>
  <si>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</si>
  <si>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</si>
  <si>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</si>
  <si>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</si>
  <si>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</si>
  <si>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</si>
  <si>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</si>
  <si>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</si>
  <si>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</si>
  <si>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</si>
  <si>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Measure Inductor Current</t>
    <phoneticPr fontId="1" type="noConversion"/>
  </si>
  <si>
    <t>Measure Electronic Load Current</t>
    <phoneticPr fontId="1" type="noConversion"/>
  </si>
  <si>
    <t>Voltage Loop KP</t>
    <phoneticPr fontId="1" type="noConversion"/>
  </si>
  <si>
    <t>Voltage Loop KI</t>
    <phoneticPr fontId="1" type="noConversion"/>
  </si>
  <si>
    <t>Voltage Loop Maximum</t>
    <phoneticPr fontId="1" type="noConversion"/>
  </si>
  <si>
    <t>Voltage Loop Minimum</t>
    <phoneticPr fontId="1" type="noConversion"/>
  </si>
  <si>
    <t>Current Loop KP</t>
    <phoneticPr fontId="1" type="noConversion"/>
  </si>
  <si>
    <t>Current Loop KI</t>
    <phoneticPr fontId="1" type="noConversion"/>
  </si>
  <si>
    <t>Current Loop Maximum</t>
    <phoneticPr fontId="1" type="noConversion"/>
  </si>
  <si>
    <t>Current Loop Minimum</t>
    <phoneticPr fontId="1" type="noConversion"/>
  </si>
  <si>
    <t>Constant Current Reference</t>
    <phoneticPr fontId="1" type="noConversion"/>
  </si>
  <si>
    <t>Over Voltage Protection</t>
    <phoneticPr fontId="1" type="noConversion"/>
  </si>
  <si>
    <t>Over Current Protection</t>
    <phoneticPr fontId="1" type="noConversion"/>
  </si>
  <si>
    <t>Enable PWM</t>
    <phoneticPr fontId="1" type="noConversion"/>
  </si>
  <si>
    <t>CLA Control Status</t>
    <phoneticPr fontId="1" type="noConversion"/>
  </si>
  <si>
    <t>CLA Error Status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</si>
  <si>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</si>
  <si>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</si>
  <si>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</si>
  <si>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</si>
  <si>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</si>
  <si>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</si>
  <si>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</si>
  <si>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</si>
  <si>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</si>
  <si>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</si>
  <si>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</si>
  <si>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</si>
  <si>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</si>
  <si>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</si>
  <si>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</si>
  <si>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</si>
  <si>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</si>
  <si>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</si>
  <si>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</si>
  <si>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Control Register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</si>
</sst>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I62"/>
  <sheetViews>
    <sheetView tabSelected="1" zoomScaleNormal="100" workbookViewId="0">
      <selection activeCell="G20" sqref="G20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22.375" bestFit="1" customWidth="1"/>
    <col min="8" max="8" width="13.75" style="10" bestFit="1" customWidth="1"/>
    <col min="9" max="9" width="17.625" style="10" customWidth="1"/>
  </cols>
  <sheetData>
    <row r="1" spans="1:9" ht="73.5" customHeight="1" x14ac:dyDescent="0.25"/>
    <row r="2" spans="1:9" s="3" customFormat="1" x14ac:dyDescent="0.25">
      <c r="A2" s="3" t="s">
        <v>2</v>
      </c>
      <c r="B2" s="3" t="s">
        <v>3</v>
      </c>
      <c r="C2" s="4" t="s">
        <v>5</v>
      </c>
      <c r="D2" s="4" t="s">
        <v>4</v>
      </c>
      <c r="E2" s="4" t="s">
        <v>44</v>
      </c>
      <c r="F2" s="7" t="s">
        <v>1</v>
      </c>
      <c r="G2" s="5" t="s">
        <v>16</v>
      </c>
      <c r="H2" s="5" t="s">
        <v>55</v>
      </c>
      <c r="I2" s="5" t="s">
        <v>0</v>
      </c>
    </row>
    <row r="3" spans="1:9" x14ac:dyDescent="0.25">
      <c r="A3">
        <v>0</v>
      </c>
      <c r="B3" s="9" t="s">
        <v>45</v>
      </c>
      <c r="C3" s="6" t="s">
        <v>9</v>
      </c>
      <c r="D3" s="8">
        <v>1</v>
      </c>
      <c r="E3" s="8">
        <v>2423</v>
      </c>
      <c r="F3" s="7">
        <v>0</v>
      </c>
    </row>
    <row r="4" spans="1:9" x14ac:dyDescent="0.25">
      <c r="B4" s="9" t="s">
        <v>46</v>
      </c>
      <c r="C4" s="6" t="s">
        <v>9</v>
      </c>
      <c r="D4" s="8">
        <v>1</v>
      </c>
      <c r="E4" s="8">
        <v>4</v>
      </c>
      <c r="F4" s="7">
        <v>1</v>
      </c>
    </row>
    <row r="5" spans="1:9" x14ac:dyDescent="0.25">
      <c r="B5" s="9" t="s">
        <v>49</v>
      </c>
      <c r="C5" s="6" t="s">
        <v>9</v>
      </c>
      <c r="D5" s="8">
        <v>1</v>
      </c>
      <c r="E5" s="8">
        <v>9000</v>
      </c>
      <c r="F5" s="7">
        <v>2</v>
      </c>
    </row>
    <row r="6" spans="1:9" x14ac:dyDescent="0.25">
      <c r="B6" s="9" t="s">
        <v>47</v>
      </c>
      <c r="C6" s="6" t="s">
        <v>9</v>
      </c>
      <c r="D6" s="8">
        <v>1</v>
      </c>
      <c r="E6" s="8">
        <v>1000</v>
      </c>
      <c r="F6" s="7">
        <v>3</v>
      </c>
    </row>
    <row r="7" spans="1:9" x14ac:dyDescent="0.25">
      <c r="B7" s="9" t="s">
        <v>48</v>
      </c>
      <c r="C7" s="6" t="s">
        <v>9</v>
      </c>
      <c r="D7" s="8">
        <v>1</v>
      </c>
      <c r="E7" s="8">
        <v>1020</v>
      </c>
      <c r="F7" s="7">
        <v>4</v>
      </c>
    </row>
    <row r="8" spans="1:9" x14ac:dyDescent="0.25">
      <c r="B8" s="9" t="s">
        <v>50</v>
      </c>
      <c r="C8" s="6" t="s">
        <v>9</v>
      </c>
      <c r="D8" s="8">
        <v>1</v>
      </c>
      <c r="E8" s="8">
        <f>SUM(E3:E7)</f>
        <v>13447</v>
      </c>
      <c r="F8" s="7">
        <v>5</v>
      </c>
    </row>
    <row r="9" spans="1:9" x14ac:dyDescent="0.25">
      <c r="A9">
        <v>1000</v>
      </c>
      <c r="B9" s="9" t="s">
        <v>35</v>
      </c>
      <c r="C9" s="6" t="s">
        <v>9</v>
      </c>
      <c r="D9" s="8">
        <v>1</v>
      </c>
      <c r="E9" s="8"/>
      <c r="F9" s="5">
        <v>1000</v>
      </c>
    </row>
    <row r="10" spans="1:9" x14ac:dyDescent="0.25">
      <c r="B10" s="9" t="s">
        <v>36</v>
      </c>
      <c r="C10" s="6" t="s">
        <v>9</v>
      </c>
      <c r="D10" s="8">
        <v>1</v>
      </c>
      <c r="E10" s="8"/>
      <c r="F10" s="5">
        <v>1001</v>
      </c>
    </row>
    <row r="11" spans="1:9" x14ac:dyDescent="0.25">
      <c r="B11" s="9" t="s">
        <v>34</v>
      </c>
      <c r="C11" s="6" t="s">
        <v>9</v>
      </c>
      <c r="D11" s="8">
        <v>1</v>
      </c>
      <c r="E11" s="8"/>
      <c r="F11" s="7">
        <v>1002</v>
      </c>
    </row>
    <row r="12" spans="1:9" x14ac:dyDescent="0.25">
      <c r="B12" s="9" t="s">
        <v>56</v>
      </c>
      <c r="C12" s="6" t="s">
        <v>9</v>
      </c>
      <c r="D12" s="8">
        <v>1</v>
      </c>
      <c r="E12" s="8"/>
      <c r="F12" s="7">
        <v>1003</v>
      </c>
    </row>
    <row r="13" spans="1:9" x14ac:dyDescent="0.25">
      <c r="B13" s="9" t="s">
        <v>17</v>
      </c>
      <c r="C13" s="6" t="s">
        <v>37</v>
      </c>
      <c r="D13" s="8">
        <v>1</v>
      </c>
      <c r="E13" s="8">
        <v>0</v>
      </c>
      <c r="F13" s="7">
        <v>1004</v>
      </c>
      <c r="H13" s="10">
        <v>6.7</v>
      </c>
    </row>
    <row r="14" spans="1:9" x14ac:dyDescent="0.25">
      <c r="B14" s="9" t="s">
        <v>31</v>
      </c>
      <c r="C14" s="6" t="s">
        <v>37</v>
      </c>
      <c r="D14" s="8">
        <v>1</v>
      </c>
      <c r="E14" s="8">
        <v>7</v>
      </c>
      <c r="F14" s="7">
        <v>1005</v>
      </c>
      <c r="H14" s="10">
        <v>7.5170000000000003</v>
      </c>
    </row>
    <row r="15" spans="1:9" x14ac:dyDescent="0.25">
      <c r="B15" s="9" t="s">
        <v>33</v>
      </c>
      <c r="C15" s="6" t="s">
        <v>37</v>
      </c>
      <c r="D15" s="8">
        <v>1</v>
      </c>
      <c r="E15" s="8"/>
      <c r="F15" s="7">
        <v>1006</v>
      </c>
    </row>
    <row r="16" spans="1:9" x14ac:dyDescent="0.25">
      <c r="B16" s="9" t="s">
        <v>32</v>
      </c>
      <c r="C16" s="6" t="s">
        <v>37</v>
      </c>
      <c r="D16" s="8">
        <v>1</v>
      </c>
      <c r="E16" s="8"/>
      <c r="F16" s="7">
        <v>1007</v>
      </c>
    </row>
    <row r="17" spans="1:6" x14ac:dyDescent="0.25">
      <c r="B17" s="9" t="s">
        <v>18</v>
      </c>
      <c r="C17" s="6" t="s">
        <v>37</v>
      </c>
      <c r="D17" s="8">
        <v>1</v>
      </c>
      <c r="E17" s="8"/>
      <c r="F17" s="7">
        <v>1008</v>
      </c>
    </row>
    <row r="18" spans="1:6" x14ac:dyDescent="0.25">
      <c r="B18" s="9" t="s">
        <v>19</v>
      </c>
      <c r="C18" s="6" t="s">
        <v>37</v>
      </c>
      <c r="D18" s="8">
        <v>1</v>
      </c>
      <c r="E18" s="8"/>
      <c r="F18" s="7">
        <v>1009</v>
      </c>
    </row>
    <row r="19" spans="1:6" x14ac:dyDescent="0.25">
      <c r="B19" s="9" t="s">
        <v>20</v>
      </c>
      <c r="C19" s="6" t="s">
        <v>37</v>
      </c>
      <c r="D19" s="8">
        <v>1</v>
      </c>
      <c r="E19" s="8"/>
      <c r="F19" s="7">
        <v>1010</v>
      </c>
    </row>
    <row r="20" spans="1:6" x14ac:dyDescent="0.25">
      <c r="B20" s="9" t="s">
        <v>21</v>
      </c>
      <c r="C20" s="6" t="s">
        <v>37</v>
      </c>
      <c r="D20" s="8">
        <v>1</v>
      </c>
      <c r="E20" s="8"/>
      <c r="F20" s="7">
        <v>1011</v>
      </c>
    </row>
    <row r="21" spans="1:6" x14ac:dyDescent="0.25">
      <c r="B21" s="9" t="s">
        <v>22</v>
      </c>
      <c r="C21" s="6" t="s">
        <v>37</v>
      </c>
      <c r="D21" s="8">
        <v>1</v>
      </c>
      <c r="E21" s="8"/>
      <c r="F21" s="7">
        <v>1012</v>
      </c>
    </row>
    <row r="22" spans="1:6" x14ac:dyDescent="0.25">
      <c r="B22" s="9" t="s">
        <v>43</v>
      </c>
      <c r="C22" s="6" t="s">
        <v>37</v>
      </c>
      <c r="D22" s="8">
        <v>1</v>
      </c>
      <c r="E22" s="8"/>
      <c r="F22" s="7">
        <v>1013</v>
      </c>
    </row>
    <row r="23" spans="1:6" x14ac:dyDescent="0.25">
      <c r="A23">
        <v>1020</v>
      </c>
      <c r="B23" s="9" t="s">
        <v>23</v>
      </c>
      <c r="C23" s="6" t="s">
        <v>39</v>
      </c>
      <c r="D23" s="8">
        <v>2</v>
      </c>
      <c r="E23" s="8">
        <v>1</v>
      </c>
      <c r="F23" s="7">
        <v>1020</v>
      </c>
    </row>
    <row r="24" spans="1:6" x14ac:dyDescent="0.25">
      <c r="B24" s="9" t="s">
        <v>24</v>
      </c>
      <c r="C24" s="6" t="s">
        <v>39</v>
      </c>
      <c r="D24" s="8">
        <v>2</v>
      </c>
      <c r="E24" s="8">
        <v>0.04</v>
      </c>
      <c r="F24" s="7">
        <v>1022</v>
      </c>
    </row>
    <row r="25" spans="1:6" x14ac:dyDescent="0.25">
      <c r="B25" s="9" t="s">
        <v>25</v>
      </c>
      <c r="C25" s="6" t="s">
        <v>39</v>
      </c>
      <c r="D25" s="8">
        <v>2</v>
      </c>
      <c r="E25" s="8">
        <v>1</v>
      </c>
      <c r="F25" s="7">
        <v>1024</v>
      </c>
    </row>
    <row r="26" spans="1:6" x14ac:dyDescent="0.25">
      <c r="B26" s="9" t="s">
        <v>26</v>
      </c>
      <c r="C26" s="6" t="s">
        <v>39</v>
      </c>
      <c r="D26" s="8">
        <v>2</v>
      </c>
      <c r="E26" s="8">
        <v>-1</v>
      </c>
      <c r="F26" s="7">
        <v>1026</v>
      </c>
    </row>
    <row r="27" spans="1:6" x14ac:dyDescent="0.25">
      <c r="B27" s="9" t="s">
        <v>27</v>
      </c>
      <c r="C27" s="6" t="s">
        <v>39</v>
      </c>
      <c r="D27" s="8">
        <v>2</v>
      </c>
      <c r="E27" s="8">
        <v>1</v>
      </c>
      <c r="F27" s="7">
        <v>1028</v>
      </c>
    </row>
    <row r="28" spans="1:6" x14ac:dyDescent="0.25">
      <c r="B28" s="9" t="s">
        <v>28</v>
      </c>
      <c r="C28" s="6" t="s">
        <v>39</v>
      </c>
      <c r="D28" s="8">
        <v>2</v>
      </c>
      <c r="E28" s="8">
        <v>0.6</v>
      </c>
      <c r="F28" s="7">
        <v>1030</v>
      </c>
    </row>
    <row r="29" spans="1:6" x14ac:dyDescent="0.25">
      <c r="B29" s="9" t="s">
        <v>29</v>
      </c>
      <c r="C29" s="6" t="s">
        <v>39</v>
      </c>
      <c r="D29" s="8">
        <v>2</v>
      </c>
      <c r="E29" s="8">
        <v>1</v>
      </c>
      <c r="F29" s="7">
        <v>1032</v>
      </c>
    </row>
    <row r="30" spans="1:6" x14ac:dyDescent="0.25">
      <c r="B30" s="9" t="s">
        <v>30</v>
      </c>
      <c r="C30" s="6" t="s">
        <v>39</v>
      </c>
      <c r="D30" s="8">
        <v>2</v>
      </c>
      <c r="E30" s="8">
        <v>-1</v>
      </c>
      <c r="F30" s="7">
        <v>1034</v>
      </c>
    </row>
    <row r="31" spans="1:6" x14ac:dyDescent="0.25">
      <c r="A31">
        <v>9000</v>
      </c>
      <c r="B31" t="s">
        <v>51</v>
      </c>
      <c r="C31" s="6" t="s">
        <v>8</v>
      </c>
      <c r="D31" s="8">
        <v>1</v>
      </c>
      <c r="E31" s="8">
        <v>886</v>
      </c>
      <c r="F31" s="7">
        <v>9000</v>
      </c>
    </row>
    <row r="32" spans="1:6" x14ac:dyDescent="0.25">
      <c r="B32" t="s">
        <v>52</v>
      </c>
      <c r="C32" s="6" t="s">
        <v>8</v>
      </c>
      <c r="D32" s="8">
        <v>1</v>
      </c>
      <c r="E32" s="8">
        <v>2423</v>
      </c>
      <c r="F32" s="7">
        <v>9001</v>
      </c>
    </row>
    <row r="33" spans="2:6" x14ac:dyDescent="0.25">
      <c r="B33" t="s">
        <v>54</v>
      </c>
      <c r="C33" s="6" t="s">
        <v>53</v>
      </c>
      <c r="D33" s="8">
        <v>2</v>
      </c>
      <c r="E33" s="8">
        <v>2023011216</v>
      </c>
      <c r="F33" s="7">
        <v>9002</v>
      </c>
    </row>
    <row r="34" spans="2:6" x14ac:dyDescent="0.25">
      <c r="D34" s="8" t="str">
        <f t="shared" ref="D34:D62" si="0">IF(0&lt;LEN(C34),IF("TR" = RIGHT(C34,2), "", IF("16" = RIGHT(C34,2), 1, IF("32" = RIGHT(C34, 2), 2, 4))), "")</f>
        <v/>
      </c>
      <c r="E34" s="8"/>
    </row>
    <row r="35" spans="2:6" x14ac:dyDescent="0.25">
      <c r="D35" s="8" t="str">
        <f t="shared" si="0"/>
        <v/>
      </c>
      <c r="E35" s="8"/>
    </row>
    <row r="36" spans="2:6" x14ac:dyDescent="0.25">
      <c r="D36" s="8" t="str">
        <f t="shared" si="0"/>
        <v/>
      </c>
      <c r="E36" s="8"/>
    </row>
    <row r="40" spans="2:6" x14ac:dyDescent="0.25">
      <c r="D40" s="8" t="str">
        <f t="shared" si="0"/>
        <v/>
      </c>
      <c r="E40" s="8"/>
    </row>
    <row r="41" spans="2:6" x14ac:dyDescent="0.25">
      <c r="D41" s="8" t="str">
        <f t="shared" si="0"/>
        <v/>
      </c>
      <c r="E41" s="8"/>
    </row>
    <row r="42" spans="2:6" x14ac:dyDescent="0.25">
      <c r="D42" s="8" t="str">
        <f t="shared" si="0"/>
        <v/>
      </c>
      <c r="E42" s="8"/>
    </row>
    <row r="43" spans="2:6" x14ac:dyDescent="0.25">
      <c r="D43" s="8" t="str">
        <f t="shared" si="0"/>
        <v/>
      </c>
      <c r="E43" s="8"/>
    </row>
    <row r="44" spans="2:6" x14ac:dyDescent="0.25">
      <c r="D44" s="8" t="str">
        <f t="shared" si="0"/>
        <v/>
      </c>
      <c r="E44" s="8"/>
    </row>
    <row r="45" spans="2:6" x14ac:dyDescent="0.25">
      <c r="D45" s="8" t="str">
        <f t="shared" si="0"/>
        <v/>
      </c>
      <c r="E45" s="8"/>
    </row>
    <row r="46" spans="2:6" x14ac:dyDescent="0.25">
      <c r="D46" s="8" t="str">
        <f t="shared" si="0"/>
        <v/>
      </c>
      <c r="E46" s="8"/>
    </row>
    <row r="47" spans="2:6" x14ac:dyDescent="0.25">
      <c r="D47" s="8" t="str">
        <f t="shared" si="0"/>
        <v/>
      </c>
      <c r="E47" s="8"/>
    </row>
    <row r="48" spans="2:6" x14ac:dyDescent="0.25">
      <c r="D48" s="8" t="str">
        <f t="shared" si="0"/>
        <v/>
      </c>
      <c r="E48" s="8"/>
    </row>
    <row r="49" spans="4:5" x14ac:dyDescent="0.25">
      <c r="D49" s="8" t="str">
        <f t="shared" si="0"/>
        <v/>
      </c>
      <c r="E49" s="8"/>
    </row>
    <row r="50" spans="4:5" x14ac:dyDescent="0.25">
      <c r="D50" s="8" t="str">
        <f t="shared" si="0"/>
        <v/>
      </c>
      <c r="E50" s="8"/>
    </row>
    <row r="51" spans="4:5" x14ac:dyDescent="0.25">
      <c r="D51" s="8" t="str">
        <f t="shared" si="0"/>
        <v/>
      </c>
      <c r="E51" s="8"/>
    </row>
    <row r="52" spans="4:5" x14ac:dyDescent="0.25">
      <c r="D52" s="8" t="str">
        <f t="shared" si="0"/>
        <v/>
      </c>
      <c r="E52" s="8"/>
    </row>
    <row r="53" spans="4:5" x14ac:dyDescent="0.25">
      <c r="D53" s="8" t="str">
        <f t="shared" si="0"/>
        <v/>
      </c>
      <c r="E53" s="8"/>
    </row>
    <row r="54" spans="4:5" x14ac:dyDescent="0.25">
      <c r="D54" s="8" t="str">
        <f t="shared" si="0"/>
        <v/>
      </c>
      <c r="E54" s="8"/>
    </row>
    <row r="55" spans="4:5" x14ac:dyDescent="0.25">
      <c r="D55" s="8" t="str">
        <f t="shared" si="0"/>
        <v/>
      </c>
      <c r="E55" s="8"/>
    </row>
    <row r="56" spans="4:5" x14ac:dyDescent="0.25">
      <c r="D56" s="8" t="str">
        <f t="shared" si="0"/>
        <v/>
      </c>
      <c r="E56" s="8"/>
    </row>
    <row r="57" spans="4:5" x14ac:dyDescent="0.25">
      <c r="D57" s="8" t="str">
        <f t="shared" si="0"/>
        <v/>
      </c>
      <c r="E57" s="8"/>
    </row>
    <row r="58" spans="4:5" x14ac:dyDescent="0.25">
      <c r="D58" s="8" t="str">
        <f t="shared" si="0"/>
        <v/>
      </c>
      <c r="E58" s="8"/>
    </row>
    <row r="59" spans="4:5" x14ac:dyDescent="0.25">
      <c r="D59" s="8" t="str">
        <f t="shared" si="0"/>
        <v/>
      </c>
      <c r="E59" s="8"/>
    </row>
    <row r="60" spans="4:5" x14ac:dyDescent="0.25">
      <c r="D60" s="8" t="str">
        <f t="shared" si="0"/>
        <v/>
      </c>
      <c r="E60" s="8"/>
    </row>
    <row r="61" spans="4:5" x14ac:dyDescent="0.25">
      <c r="D61" s="8" t="str">
        <f t="shared" si="0"/>
        <v/>
      </c>
      <c r="E61" s="8"/>
    </row>
    <row r="62" spans="4:5" x14ac:dyDescent="0.25">
      <c r="D62" s="8" t="str">
        <f t="shared" si="0"/>
        <v/>
      </c>
      <c r="E62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autoPict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Typedef!$A$2:$A$20</xm:f>
          </x14:formula1>
          <xm:sqref>C3:C12</xm:sqref>
        </x14:dataValidation>
        <x14:dataValidation type="list" allowBlank="1" showInputMessage="1" showErrorMessage="1">
          <x14:formula1>
            <xm:f>Typedef!$A$2:$A$30</xm:f>
          </x14:formula1>
          <xm:sqref>C13:C30</xm:sqref>
        </x14:dataValidation>
        <x14:dataValidation type="list" allowBlank="1" showInputMessage="1" showErrorMessage="1">
          <x14:formula1>
            <xm:f>Typedef!$A$2:$A$50</xm:f>
          </x14:formula1>
          <xm:sqref>C31:C33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40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41</v>
      </c>
    </row>
    <row r="9" spans="1:2" x14ac:dyDescent="0.25">
      <c r="A9" t="s">
        <v>15</v>
      </c>
      <c r="B9" s="2" t="s">
        <v>42</v>
      </c>
    </row>
    <row r="10" spans="1:2" x14ac:dyDescent="0.25">
      <c r="A10" t="s">
        <v>38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林武彥</cp:lastModifiedBy>
  <dcterms:created xsi:type="dcterms:W3CDTF">2020-09-30T01:47:31Z</dcterms:created>
  <dcterms:modified xsi:type="dcterms:W3CDTF">2023-08-10T07:12:41Z</dcterms:modified>
</cp:coreProperties>
</file>